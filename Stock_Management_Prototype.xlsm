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urki\Downloads\"/>
    </mc:Choice>
  </mc:AlternateContent>
  <xr:revisionPtr revIDLastSave="0" documentId="13_ncr:1_{D875B2AA-2A64-42B0-948D-AC781EA3BF8F}" xr6:coauthVersionLast="47" xr6:coauthVersionMax="47" xr10:uidLastSave="{00000000-0000-0000-0000-000000000000}"/>
  <bookViews>
    <workbookView xWindow="8565" yWindow="0" windowWidth="20340" windowHeight="15585" tabRatio="500" xr2:uid="{00000000-000D-0000-FFFF-FFFF00000000}"/>
  </bookViews>
  <sheets>
    <sheet name="Stock_Inventory" sheetId="1" r:id="rId1"/>
    <sheet name="Scan_Log" sheetId="2" r:id="rId2"/>
    <sheet name="Dashboard" sheetId="3" r:id="rId3"/>
    <sheet name="README" sheetId="4" r:id="rId4"/>
  </sheet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I45" i="1" l="1"/>
  <c r="B16" i="3"/>
  <c r="B15" i="3"/>
  <c r="B14" i="3"/>
  <c r="B13" i="3"/>
  <c r="B9" i="3"/>
  <c r="B8" i="3"/>
  <c r="B7" i="3"/>
  <c r="B6" i="3"/>
  <c r="B5" i="3"/>
  <c r="E4" i="3"/>
  <c r="I44" i="1"/>
  <c r="I43" i="1"/>
  <c r="I42" i="1"/>
  <c r="I41" i="1"/>
  <c r="I40" i="1"/>
  <c r="I39" i="1"/>
  <c r="I38" i="1"/>
  <c r="I37" i="1"/>
  <c r="I36" i="1"/>
  <c r="I35" i="1"/>
  <c r="I34" i="1"/>
  <c r="I33" i="1"/>
  <c r="I32" i="1"/>
  <c r="I31" i="1"/>
  <c r="I30" i="1"/>
  <c r="I29" i="1"/>
  <c r="I28" i="1"/>
  <c r="I27" i="1"/>
  <c r="I26" i="1"/>
  <c r="I25" i="1"/>
  <c r="I24" i="1"/>
  <c r="I23" i="1"/>
  <c r="I22" i="1"/>
  <c r="I21" i="1"/>
  <c r="I20" i="1"/>
  <c r="I19" i="1"/>
  <c r="I18" i="1"/>
  <c r="I17" i="1"/>
  <c r="I16" i="1"/>
  <c r="I15" i="1"/>
  <c r="I14" i="1"/>
  <c r="I13" i="1"/>
  <c r="I12" i="1"/>
  <c r="I11" i="1"/>
  <c r="I10" i="1"/>
  <c r="I9" i="1"/>
  <c r="I8" i="1"/>
  <c r="I7" i="1"/>
  <c r="I6" i="1"/>
  <c r="I5" i="1"/>
  <c r="E5" i="3" s="1"/>
</calcChain>
</file>

<file path=xl/sharedStrings.xml><?xml version="1.0" encoding="utf-8"?>
<sst xmlns="http://schemas.openxmlformats.org/spreadsheetml/2006/main" count="486" uniqueCount="238">
  <si>
    <t>Inventaire Materiel Informatique — Prototype</t>
  </si>
  <si>
    <t>Systeme de gestion de stock par codes-barres (VBA) — demo / portfolio, donnees fictives</t>
  </si>
  <si>
    <t>Barcode ID</t>
  </si>
  <si>
    <t>Numero de serie</t>
  </si>
  <si>
    <t>Modele</t>
  </si>
  <si>
    <t>Categorie</t>
  </si>
  <si>
    <t>Utilisateur assigne</t>
  </si>
  <si>
    <t>Date d'entree</t>
  </si>
  <si>
    <t>Emplacement</t>
  </si>
  <si>
    <t>Statut</t>
  </si>
  <si>
    <t>Doublon ?</t>
  </si>
  <si>
    <t>BC100005</t>
  </si>
  <si>
    <t>PC0T14-1409</t>
  </si>
  <si>
    <t>ThinkPad T14</t>
  </si>
  <si>
    <t>Laptop bureautique</t>
  </si>
  <si>
    <t>Bandar.A.</t>
  </si>
  <si>
    <t>02/05/2026</t>
  </si>
  <si>
    <t>Bureau - Etage 2</t>
  </si>
  <si>
    <t>En stock</t>
  </si>
  <si>
    <t>BC100006</t>
  </si>
  <si>
    <t>PC0T14-9935</t>
  </si>
  <si>
    <t>Sara.B.</t>
  </si>
  <si>
    <t>15/06/2026</t>
  </si>
  <si>
    <t>Stock IT</t>
  </si>
  <si>
    <t>En service</t>
  </si>
  <si>
    <t>BC100007</t>
  </si>
  <si>
    <t>PC0T14-2535</t>
  </si>
  <si>
    <t>Faisal.C.</t>
  </si>
  <si>
    <t>30/04/2026</t>
  </si>
  <si>
    <t>Usine - Zone A</t>
  </si>
  <si>
    <t>BC100008</t>
  </si>
  <si>
    <t>PCP14G5-4257</t>
  </si>
  <si>
    <t>ThinkPad P14 Gen 5</t>
  </si>
  <si>
    <t>Workstation mobile</t>
  </si>
  <si>
    <t>Maha.D.</t>
  </si>
  <si>
    <t>24/05/2026</t>
  </si>
  <si>
    <t>Reforme</t>
  </si>
  <si>
    <t>BC100009</t>
  </si>
  <si>
    <t>PCP14G5-5557</t>
  </si>
  <si>
    <t>Karim.E.</t>
  </si>
  <si>
    <t>07/07/2026</t>
  </si>
  <si>
    <t>Salle de reunion</t>
  </si>
  <si>
    <t>BC100010</t>
  </si>
  <si>
    <t>PCP14G4-6574</t>
  </si>
  <si>
    <t>ThinkPad P14 Gen 4</t>
  </si>
  <si>
    <t>Bandar.F.</t>
  </si>
  <si>
    <t>20/04/2026</t>
  </si>
  <si>
    <t>En maintenance</t>
  </si>
  <si>
    <t>BC100011</t>
  </si>
  <si>
    <t>PC0T14-2519</t>
  </si>
  <si>
    <t>Rakan.G.</t>
  </si>
  <si>
    <t>13/04/2026</t>
  </si>
  <si>
    <t>Salle serveur</t>
  </si>
  <si>
    <t>BC100012</t>
  </si>
  <si>
    <t>PCP14G5-5333</t>
  </si>
  <si>
    <t>Yousef.H.</t>
  </si>
  <si>
    <t>03/07/2026</t>
  </si>
  <si>
    <t>BC100013</t>
  </si>
  <si>
    <t>PCP14G4-2291</t>
  </si>
  <si>
    <t>Maha.I.</t>
  </si>
  <si>
    <t>08/05/2026</t>
  </si>
  <si>
    <t>BC100014</t>
  </si>
  <si>
    <t>PCP14G5-4150</t>
  </si>
  <si>
    <t>Sara.J.</t>
  </si>
  <si>
    <t>06/04/2026</t>
  </si>
  <si>
    <t>Usine - Zone B</t>
  </si>
  <si>
    <t>BC100015</t>
  </si>
  <si>
    <t>PC0T49-2307</t>
  </si>
  <si>
    <t>ThinkPad T490</t>
  </si>
  <si>
    <t>Huda.K.</t>
  </si>
  <si>
    <t>20/07/2026</t>
  </si>
  <si>
    <t>Bureau - Etage 1</t>
  </si>
  <si>
    <t>BC100016</t>
  </si>
  <si>
    <t>PC0T49-8428</t>
  </si>
  <si>
    <t>Noura.L.</t>
  </si>
  <si>
    <t>21/04/2026</t>
  </si>
  <si>
    <t>BC100017</t>
  </si>
  <si>
    <t>ThinkPad T480</t>
  </si>
  <si>
    <t>Sara.M.</t>
  </si>
  <si>
    <t>17/06/2026</t>
  </si>
  <si>
    <t>BC100018</t>
  </si>
  <si>
    <t>PCP14G5-5010</t>
  </si>
  <si>
    <t>Nada.N.</t>
  </si>
  <si>
    <t>30/05/2026</t>
  </si>
  <si>
    <t>BC100019</t>
  </si>
  <si>
    <t>PCP14G5-4598</t>
  </si>
  <si>
    <t>Talal.O.</t>
  </si>
  <si>
    <t>17/07/2026</t>
  </si>
  <si>
    <t>BC100020</t>
  </si>
  <si>
    <t>PC0T48-1525</t>
  </si>
  <si>
    <t>Talal.P.</t>
  </si>
  <si>
    <t>22/05/2026</t>
  </si>
  <si>
    <t>BC100021</t>
  </si>
  <si>
    <t>PC0T48-6155</t>
  </si>
  <si>
    <t>Faisal.Q.</t>
  </si>
  <si>
    <t>23/06/2026</t>
  </si>
  <si>
    <t>BC100022</t>
  </si>
  <si>
    <t>PCP14G4-3340</t>
  </si>
  <si>
    <t>Bandar.R.</t>
  </si>
  <si>
    <t>18/04/2026</t>
  </si>
  <si>
    <t>BC100023</t>
  </si>
  <si>
    <t>PCP14G5-8019</t>
  </si>
  <si>
    <t>Ziad.S.</t>
  </si>
  <si>
    <t>BC100024</t>
  </si>
  <si>
    <t>PC0T48-9348</t>
  </si>
  <si>
    <t>Alaa.T.</t>
  </si>
  <si>
    <t>12/04/2026</t>
  </si>
  <si>
    <t>BC100025</t>
  </si>
  <si>
    <t>PC0T14-3504</t>
  </si>
  <si>
    <t>Nada.U.</t>
  </si>
  <si>
    <t>11/07/2026</t>
  </si>
  <si>
    <t>BC100026</t>
  </si>
  <si>
    <t>PCP14G5-2040</t>
  </si>
  <si>
    <t>Rakan.V.</t>
  </si>
  <si>
    <t>19/05/2026</t>
  </si>
  <si>
    <t>BC100027</t>
  </si>
  <si>
    <t>PCP14G5-5119</t>
  </si>
  <si>
    <t>Maha.W.</t>
  </si>
  <si>
    <t>BC100028</t>
  </si>
  <si>
    <t>PCP14G5-5371</t>
  </si>
  <si>
    <t>Talal.X.</t>
  </si>
  <si>
    <t>15/04/2026</t>
  </si>
  <si>
    <t>BC100029</t>
  </si>
  <si>
    <t>PC0T48-8433</t>
  </si>
  <si>
    <t>Karim.Y.</t>
  </si>
  <si>
    <t>02/07/2026</t>
  </si>
  <si>
    <t>BC100030</t>
  </si>
  <si>
    <t>PCP14G5-3927</t>
  </si>
  <si>
    <t>Fahad.Z.</t>
  </si>
  <si>
    <t>26/07/2026</t>
  </si>
  <si>
    <t>BC100031</t>
  </si>
  <si>
    <t>PCP14G5-4258</t>
  </si>
  <si>
    <t>Omar.A.</t>
  </si>
  <si>
    <t>18/05/2026</t>
  </si>
  <si>
    <t>BC100032</t>
  </si>
  <si>
    <t>Rania.B.</t>
  </si>
  <si>
    <t>12/05/2026</t>
  </si>
  <si>
    <t>BC100033</t>
  </si>
  <si>
    <t>PC0T14-6947</t>
  </si>
  <si>
    <t>Reem.C.</t>
  </si>
  <si>
    <t>01/05/2026</t>
  </si>
  <si>
    <t>BC100034</t>
  </si>
  <si>
    <t>PCP14G5-2290</t>
  </si>
  <si>
    <t>Sara.D.</t>
  </si>
  <si>
    <t>BC100035</t>
  </si>
  <si>
    <t>PCP14G5-3060</t>
  </si>
  <si>
    <t>Omar.E.</t>
  </si>
  <si>
    <t>24/06/2026</t>
  </si>
  <si>
    <t>BC100036</t>
  </si>
  <si>
    <t>PC0T49-9645</t>
  </si>
  <si>
    <t>Rania.F.</t>
  </si>
  <si>
    <t>25/05/2026</t>
  </si>
  <si>
    <t>BC100037</t>
  </si>
  <si>
    <t>PC0T49-7537</t>
  </si>
  <si>
    <t>Noura.G.</t>
  </si>
  <si>
    <t>27/05/2026</t>
  </si>
  <si>
    <t>BC100038</t>
  </si>
  <si>
    <t>Sara.H.</t>
  </si>
  <si>
    <t>14/05/2026</t>
  </si>
  <si>
    <t>BC100039</t>
  </si>
  <si>
    <t>PCP14G5-4608</t>
  </si>
  <si>
    <t>Karim.I.</t>
  </si>
  <si>
    <t>10/04/2026</t>
  </si>
  <si>
    <t>BC100040</t>
  </si>
  <si>
    <t>PC0T48-2104</t>
  </si>
  <si>
    <t>Yousef.J.</t>
  </si>
  <si>
    <t>BC100041</t>
  </si>
  <si>
    <t>PCP14G5-4899</t>
  </si>
  <si>
    <t>Bandar.K.</t>
  </si>
  <si>
    <t>25/06/2026</t>
  </si>
  <si>
    <t>BC100042</t>
  </si>
  <si>
    <t>PCP14G5-3167</t>
  </si>
  <si>
    <t>Ziad.L.</t>
  </si>
  <si>
    <t>13/06/2026</t>
  </si>
  <si>
    <t>BC100043</t>
  </si>
  <si>
    <t>PCP14G4-7669</t>
  </si>
  <si>
    <t>Faisal.M.</t>
  </si>
  <si>
    <t>BC100044</t>
  </si>
  <si>
    <t>PC0T49-7939</t>
  </si>
  <si>
    <t>Dana.N.</t>
  </si>
  <si>
    <t>Journal des scans (simule l'activite du lecteur code-barres)</t>
  </si>
  <si>
    <t>Chaque ligne est generee automatiquement par la macro VBA lors d'un scan</t>
  </si>
  <si>
    <t>Horodatage</t>
  </si>
  <si>
    <t>Barcode scanne</t>
  </si>
  <si>
    <t>Numero de serie detecte</t>
  </si>
  <si>
    <t>Action</t>
  </si>
  <si>
    <t>Resultat</t>
  </si>
  <si>
    <t>19/06/2026 04:26</t>
  </si>
  <si>
    <t>Entree stock</t>
  </si>
  <si>
    <t>Enregistre avec succes</t>
  </si>
  <si>
    <t>17/06/2026 06:49</t>
  </si>
  <si>
    <t>18/06/2026 09:43</t>
  </si>
  <si>
    <t>16/06/2026 22:31</t>
  </si>
  <si>
    <t>15/06/2026 18:47</t>
  </si>
  <si>
    <t>Verification</t>
  </si>
  <si>
    <t>Bloque - doublon detecte</t>
  </si>
  <si>
    <t>19/06/2026 01:32</t>
  </si>
  <si>
    <t>16/06/2026 16:46</t>
  </si>
  <si>
    <t>Sortie stock</t>
  </si>
  <si>
    <t>16/06/2026 13:41</t>
  </si>
  <si>
    <t>15/06/2026 08:47</t>
  </si>
  <si>
    <t>17/06/2026 22:37</t>
  </si>
  <si>
    <t>19/06/2026 12:14</t>
  </si>
  <si>
    <t>16/06/2026 05:38</t>
  </si>
  <si>
    <t>15/06/2026 16:29</t>
  </si>
  <si>
    <t>17/06/2026 03:19</t>
  </si>
  <si>
    <t>18/06/2026 05:09</t>
  </si>
  <si>
    <t>18/06/2026 05:50</t>
  </si>
  <si>
    <t>15/06/2026 17:46</t>
  </si>
  <si>
    <t>18/06/2026 14:16</t>
  </si>
  <si>
    <t>18/06/2026 21:03</t>
  </si>
  <si>
    <t>18/06/2026 13:40</t>
  </si>
  <si>
    <t>Tableau de bord — Inventaire IT</t>
  </si>
  <si>
    <t>Repartition par modele</t>
  </si>
  <si>
    <t>Doublons detectes</t>
  </si>
  <si>
    <t>Quantite</t>
  </si>
  <si>
    <t>Total appareils</t>
  </si>
  <si>
    <t>Doublons</t>
  </si>
  <si>
    <t>Repartition par statut</t>
  </si>
  <si>
    <t>A propos de ce fichier</t>
  </si>
  <si>
    <t>Ce classeur est une reconstruction / prototype du systeme de gestion de stock IT</t>
  </si>
  <si>
    <t>developpe durant mon stage chez United Sugar Company (groupe Savola).</t>
  </si>
  <si>
    <t>Toutes les donnees (numeros de serie, utilisateurs, emplacements) sont FICTIVES.</t>
  </si>
  <si>
    <t>Fonctionnement :</t>
  </si>
  <si>
    <t>- Feuille Stock_Inventory : inventaire du materiel, colonne 'Doublon ?' calculee</t>
  </si>
  <si>
    <t xml:space="preserve">  automatiquement par formule COUNTIF (equivalent de la verification faite par</t>
  </si>
  <si>
    <t xml:space="preserve">  la macro VBA lors du scan d'un code-barres).</t>
  </si>
  <si>
    <t>- Feuille Scan_Log : simule le journal d'activite genere par le lecteur de</t>
  </si>
  <si>
    <t xml:space="preserve">  codes-barres et la macro d'enregistrement.</t>
  </si>
  <si>
    <t>- Feuille Dashboard : synthese visuelle (repartition par modele, par statut,</t>
  </si>
  <si>
    <t xml:space="preserve">  nombre de doublons detectes).</t>
  </si>
  <si>
    <t>Le code VBA reel (macro de scan + blocage des doublons) est fourni a part</t>
  </si>
  <si>
    <t>dans Module_BarcodeScan.bas, a importer via l'editeur VBA (Alt+F11 &gt; Fichier &gt;</t>
  </si>
  <si>
    <t>Importer un fichier) pour obtenir un classeur .xlsm pleinement fonctionnel.</t>
  </si>
  <si>
    <t>19/08/2026 10:01</t>
  </si>
  <si>
    <t>bc1245455</t>
  </si>
  <si>
    <t>pcpe5784</t>
  </si>
  <si>
    <t>19/08/2026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</si>
</sst>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charset val="1"/>
    </font>
    <font>
      <b/>
      <sz val="16"/>
      <color rgb="FF1F2937"/>
      <name val="Arial"/>
      <charset val="1"/>
    </font>
    <font>
      <i/>
      <sz val="10"/>
      <color rgb="FF6B7280"/>
      <name val="Arial"/>
      <charset val="1"/>
    </font>
    <font>
      <b/>
      <sz val="11"/>
      <color rgb="FFFFFFFF"/>
      <name val="Arial"/>
      <charset val="1"/>
    </font>
    <font>
      <sz val="10"/>
      <name val="Arial"/>
      <charset val="1"/>
    </font>
    <font>
      <b/>
      <sz val="12"/>
      <name val="Arial"/>
      <charset val="1"/>
    </font>
    <font>
      <b/>
      <sz val="11"/>
      <name val="Arial"/>
      <charset val="1"/>
    </font>
  </fonts>
  <fills count="3">
    <fill>
      <patternFill patternType="none"/>
    </fill>
    <fill>
      <patternFill patternType="gray125"/>
    </fill>
    <fill>
      <patternFill patternType="solid">
        <fgColor rgb="FF1F2937"/>
        <bgColor rgb="FF333300"/>
      </patternFill>
    </fill>
  </fills>
  <borders count="2">
    <border>
      <left/>
      <right/>
      <top/>
      <bottom/>
      <diagonal/>
    </border>
    <border>
      <left style="thin">
        <color rgb="FFD1D5DB"/>
      </left>
      <right style="thin">
        <color rgb="FFD1D5DB"/>
      </right>
      <top style="thin">
        <color rgb="FFD1D5DB"/>
      </top>
      <bottom style="thin">
        <color rgb="FFD1D5DB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1" fillId="0" borderId="0" xfId="0" applyFont="1"/>
    <xf numFmtId="0" fontId="2" fillId="0" borderId="0" xfId="0" applyFont="1"/>
    <xf numFmtId="0" fontId="3" fillId="2" borderId="1" xfId="0" applyFont="1" applyFill="1" applyBorder="1" applyAlignment="1">
      <alignment horizontal="center" vertical="center" wrapText="1"/>
    </xf>
    <xf numFmtId="0" fontId="4" fillId="0" borderId="1" xfId="0" applyFont="1" applyBorder="1" applyAlignment="1">
      <alignment horizontal="left" vertical="center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Border="1"/>
    <xf numFmtId="0" fontId="5" fillId="0" borderId="0" xfId="0" applyFont="1"/>
    <xf numFmtId="0" fontId="3" fillId="2" borderId="0" xfId="0" applyFont="1" applyFill="1"/>
    <xf numFmtId="0" fontId="4" fillId="0" borderId="0" xfId="0" applyFont="1"/>
    <xf numFmtId="0" fontId="6" fillId="0" borderId="0" xfId="0" applyFont="1"/>
  </cellXfs>
  <cellStyles count="1">
    <cellStyle name="Normal" xfId="0" builtinId="0"/>
  </cellStyles>
  <dxfs count="3">
    <dxf>
      <fill>
        <patternFill>
          <bgColor rgb="FFFCA5A5"/>
        </patternFill>
      </fill>
    </dxf>
    <dxf>
      <fill>
        <patternFill>
          <bgColor rgb="FFBBF7D0"/>
        </patternFill>
      </fill>
    </dxf>
    <dxf>
      <font>
        <b/>
        <color rgb="FF7F1D1D"/>
      </font>
      <fill>
        <patternFill>
          <bgColor rgb="FFFCA5A5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D9D9D9"/>
      <rgbColor rgb="FF878787"/>
      <rgbColor rgb="FF9999FF"/>
      <rgbColor rgb="FFC0504D"/>
      <rgbColor rgb="FFF9F9F9"/>
      <rgbColor rgb="FFCCFFFF"/>
      <rgbColor rgb="FF660066"/>
      <rgbColor rgb="FFFF8080"/>
      <rgbColor rgb="FF0066CC"/>
      <rgbColor rgb="FFD1D5DB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BBF7D0"/>
      <rgbColor rgb="FFFFFF99"/>
      <rgbColor rgb="FF99CCFF"/>
      <rgbColor rgb="FFFCA5A5"/>
      <rgbColor rgb="FFCC99FF"/>
      <rgbColor rgb="FFFFCC99"/>
      <rgbColor rgb="FF4F81BD"/>
      <rgbColor rgb="FF33CCCC"/>
      <rgbColor rgb="FF9BBB59"/>
      <rgbColor rgb="FFFFCC00"/>
      <rgbColor rgb="FFFF9900"/>
      <rgbColor rgb="FFFF6600"/>
      <rgbColor rgb="FF6B7280"/>
      <rgbColor rgb="FF8064A2"/>
      <rgbColor rgb="FF003366"/>
      <rgbColor rgb="FF339966"/>
      <rgbColor rgb="FF003300"/>
      <rgbColor rgb="FF333300"/>
      <rgbColor rgb="FF7F1D1D"/>
      <rgbColor rgb="FF993366"/>
      <rgbColor rgb="FF333399"/>
      <rgbColor rgb="FF1F2937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c:style val="2"/>
  <c:chart>
    <c:title>
      <c:tx>
        <c:rich>
          <a:bodyPr rot="0"/>
          <a:lstStyle/>
          <a:p>
            <a:pPr>
              <a:defRPr sz="1800" b="1" strike="noStrike" spc="-1">
                <a:solidFill>
                  <a:srgbClr val="000000"/>
                </a:solidFill>
                <a:latin typeface="Calibri"/>
              </a:defRPr>
            </a:pPr>
            <a:r>
              <a:rPr sz="1800" b="1" strike="noStrike" spc="-1">
                <a:solidFill>
                  <a:srgbClr val="000000"/>
                </a:solidFill>
                <a:latin typeface="Calibri"/>
              </a:rPr>
              <a:t>Appareils par modele</a:t>
            </a:r>
          </a:p>
        </c:rich>
      </c:tx>
      <c:overlay val="0"/>
      <c:spPr>
        <a:noFill/>
        <a:ln w="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Dashboard!$B$4</c:f>
              <c:strCache>
                <c:ptCount val="1"/>
                <c:pt idx="0">
                  <c:v>Quantite</c:v>
                </c:pt>
              </c:strCache>
            </c:strRef>
          </c:tx>
          <c:spPr>
            <a:solidFill>
              <a:srgbClr val="4F81BD"/>
            </a:solidFill>
            <a:ln w="9360">
              <a:solidFill>
                <a:srgbClr val="F9F9F9"/>
              </a:solidFill>
              <a:round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none"/>
              <a:lstStyle/>
              <a:p>
                <a:pPr>
                  <a:defRPr sz="1000" b="0" strike="noStrike" spc="-1">
                    <a:latin typeface="Arial"/>
                  </a:defRPr>
                </a:pPr>
                <a:endParaRPr lang="fr-FR"/>
              </a:p>
            </c:txPr>
            <c:showLegendKey val="0"/>
            <c:showVal val="0"/>
            <c:showCatName val="0"/>
            <c:showSerName val="0"/>
            <c:showPercent val="0"/>
            <c:showBubbleSize val="1"/>
            <c:separator>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Dashboard!$A$5:$A$9</c:f>
              <c:strCache>
                <c:ptCount val="5"/>
                <c:pt idx="0">
                  <c:v>ThinkPad T14</c:v>
                </c:pt>
                <c:pt idx="1">
                  <c:v>ThinkPad T480</c:v>
                </c:pt>
                <c:pt idx="2">
                  <c:v>ThinkPad T490</c:v>
                </c:pt>
                <c:pt idx="3">
                  <c:v>ThinkPad P14 Gen 4</c:v>
                </c:pt>
                <c:pt idx="4">
                  <c:v>ThinkPad P14 Gen 5</c:v>
                </c:pt>
              </c:strCache>
            </c:strRef>
          </c:cat>
          <c:val>
            <c:numRef>
              <c:f>Dashboard!$B$5:$B$9</c:f>
              <c:numCache>
                <c:formatCode>General</c:formatCode>
                <c:ptCount val="5"/>
                <c:pt idx="0">
                  <c:v>7</c:v>
                </c:pt>
                <c:pt idx="1">
                  <c:v>6</c:v>
                </c:pt>
                <c:pt idx="2">
                  <c:v>5</c:v>
                </c:pt>
                <c:pt idx="3">
                  <c:v>4</c:v>
                </c:pt>
                <c:pt idx="4">
                  <c:v>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F7A-4B5E-933B-4A89B5948B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6776111"/>
        <c:axId val="54161493"/>
      </c:barChart>
      <c:catAx>
        <c:axId val="967761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ln w="9360">
            <a:solidFill>
              <a:srgbClr val="878787"/>
            </a:solidFill>
            <a:round/>
          </a:ln>
        </c:spPr>
        <c:txPr>
          <a:bodyPr/>
          <a:lstStyle/>
          <a:p>
            <a:pPr>
              <a:defRPr sz="1000" b="0" strike="noStrike" spc="-1">
                <a:solidFill>
                  <a:srgbClr val="000000"/>
                </a:solidFill>
                <a:latin typeface="Calibri"/>
              </a:defRPr>
            </a:pPr>
            <a:endParaRPr lang="fr-FR"/>
          </a:p>
        </c:txPr>
        <c:crossAx val="54161493"/>
        <c:crosses val="autoZero"/>
        <c:auto val="1"/>
        <c:lblAlgn val="ctr"/>
        <c:lblOffset val="100"/>
        <c:noMultiLvlLbl val="0"/>
      </c:catAx>
      <c:valAx>
        <c:axId val="54161493"/>
        <c:scaling>
          <c:orientation val="minMax"/>
        </c:scaling>
        <c:delete val="0"/>
        <c:axPos val="l"/>
        <c:majorGridlines>
          <c:spPr>
            <a:ln w="9360">
              <a:solidFill>
                <a:srgbClr val="878787"/>
              </a:solidFill>
              <a:round/>
            </a:ln>
          </c:spPr>
        </c:majorGridlines>
        <c:title>
          <c:tx>
            <c:rich>
              <a:bodyPr rot="-5400000"/>
              <a:lstStyle/>
              <a:p>
                <a:pPr>
                  <a:defRPr sz="1000" b="1" strike="noStrike" spc="-1">
                    <a:solidFill>
                      <a:srgbClr val="000000"/>
                    </a:solidFill>
                    <a:latin typeface="Calibri"/>
                  </a:defRPr>
                </a:pPr>
                <a:r>
                  <a:rPr sz="1000" b="1" strike="noStrike" spc="-1">
                    <a:solidFill>
                      <a:srgbClr val="000000"/>
                    </a:solidFill>
                    <a:latin typeface="Calibri"/>
                  </a:rPr>
                  <a:t>Quantite</a:t>
                </a:r>
              </a:p>
            </c:rich>
          </c:tx>
          <c:overlay val="0"/>
          <c:spPr>
            <a:noFill/>
            <a:ln w="0">
              <a:noFill/>
            </a:ln>
          </c:spPr>
        </c:title>
        <c:numFmt formatCode="General" sourceLinked="1"/>
        <c:majorTickMark val="none"/>
        <c:minorTickMark val="none"/>
        <c:tickLblPos val="nextTo"/>
        <c:spPr>
          <a:ln w="9360">
            <a:solidFill>
              <a:srgbClr val="878787"/>
            </a:solidFill>
            <a:round/>
          </a:ln>
        </c:spPr>
        <c:txPr>
          <a:bodyPr/>
          <a:lstStyle/>
          <a:p>
            <a:pPr>
              <a:defRPr sz="1000" b="0" strike="noStrike" spc="-1">
                <a:solidFill>
                  <a:srgbClr val="000000"/>
                </a:solidFill>
                <a:latin typeface="Calibri"/>
              </a:defRPr>
            </a:pPr>
            <a:endParaRPr lang="fr-FR"/>
          </a:p>
        </c:txPr>
        <c:crossAx val="96776111"/>
        <c:crosses val="autoZero"/>
        <c:crossBetween val="between"/>
      </c:valAx>
      <c:spPr>
        <a:noFill/>
        <a:ln w="0">
          <a:noFill/>
        </a:ln>
      </c:spPr>
    </c:plotArea>
    <c:legend>
      <c:legendPos val="r"/>
      <c:overlay val="0"/>
      <c:spPr>
        <a:noFill/>
        <a:ln w="0">
          <a:noFill/>
        </a:ln>
      </c:spPr>
      <c:txPr>
        <a:bodyPr/>
        <a:lstStyle/>
        <a:p>
          <a:pPr>
            <a:defRPr sz="1000" b="0" strike="noStrike" spc="-1">
              <a:solidFill>
                <a:srgbClr val="000000"/>
              </a:solidFill>
              <a:latin typeface="Calibri"/>
            </a:defRPr>
          </a:pPr>
          <a:endParaRPr lang="fr-FR"/>
        </a:p>
      </c:txPr>
    </c:legend>
    <c:plotVisOnly val="1"/>
    <c:dispBlanksAs val="gap"/>
    <c:showDLblsOverMax val="1"/>
  </c:chart>
  <c:spPr>
    <a:solidFill>
      <a:srgbClr val="FFFFFF"/>
    </a:solidFill>
    <a:ln w="9360">
      <a:solidFill>
        <a:srgbClr val="D9D9D9"/>
      </a:solidFill>
      <a:round/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c:style val="2"/>
  <c:chart>
    <c:title>
      <c:tx>
        <c:rich>
          <a:bodyPr rot="0"/>
          <a:lstStyle/>
          <a:p>
            <a:pPr>
              <a:defRPr sz="1800" b="1" strike="noStrike" spc="-1">
                <a:solidFill>
                  <a:srgbClr val="000000"/>
                </a:solidFill>
                <a:latin typeface="Calibri"/>
              </a:defRPr>
            </a:pPr>
            <a:r>
              <a:rPr sz="1800" b="1" strike="noStrike" spc="-1">
                <a:solidFill>
                  <a:srgbClr val="000000"/>
                </a:solidFill>
                <a:latin typeface="Calibri"/>
              </a:rPr>
              <a:t>Repartition par statut</a:t>
            </a:r>
          </a:p>
        </c:rich>
      </c:tx>
      <c:overlay val="0"/>
      <c:spPr>
        <a:noFill/>
        <a:ln w="0">
          <a:noFill/>
        </a:ln>
      </c:spPr>
    </c:title>
    <c:autoTitleDeleted val="0"/>
    <c:plotArea>
      <c:layout/>
      <c:pieChart>
        <c:varyColors val="1"/>
        <c:ser>
          <c:idx val="0"/>
          <c:order val="0"/>
          <c:tx>
            <c:strRef>
              <c:f>Dashboard!$B$12</c:f>
              <c:strCache>
                <c:ptCount val="1"/>
                <c:pt idx="0">
                  <c:v>Quantite</c:v>
                </c:pt>
              </c:strCache>
            </c:strRef>
          </c:tx>
          <c:spPr>
            <a:solidFill>
              <a:srgbClr val="4F81BD"/>
            </a:solidFill>
            <a:ln w="0"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1-A339-49F4-80BB-987C52230841}"/>
              </c:ext>
            </c:extLst>
          </c:dPt>
          <c:dPt>
            <c:idx val="1"/>
            <c:bubble3D val="0"/>
            <c:spPr>
              <a:solidFill>
                <a:srgbClr val="C0504D"/>
              </a:solidFill>
              <a:ln w="0">
                <a:noFill/>
              </a:ln>
            </c:spPr>
            <c:extLst>
              <c:ext xmlns:c16="http://schemas.microsoft.com/office/drawing/2014/chart" uri="{C3380CC4-5D6E-409C-BE32-E72D297353CC}">
                <c16:uniqueId val="{00000003-A339-49F4-80BB-987C52230841}"/>
              </c:ext>
            </c:extLst>
          </c:dPt>
          <c:dPt>
            <c:idx val="2"/>
            <c:bubble3D val="0"/>
            <c:spPr>
              <a:solidFill>
                <a:srgbClr val="9BBB59"/>
              </a:solidFill>
              <a:ln w="0">
                <a:noFill/>
              </a:ln>
            </c:spPr>
            <c:extLst>
              <c:ext xmlns:c16="http://schemas.microsoft.com/office/drawing/2014/chart" uri="{C3380CC4-5D6E-409C-BE32-E72D297353CC}">
                <c16:uniqueId val="{00000005-A339-49F4-80BB-987C52230841}"/>
              </c:ext>
            </c:extLst>
          </c:dPt>
          <c:dPt>
            <c:idx val="3"/>
            <c:bubble3D val="0"/>
            <c:spPr>
              <a:solidFill>
                <a:srgbClr val="8064A2"/>
              </a:solidFill>
              <a:ln w="0">
                <a:noFill/>
              </a:ln>
            </c:spPr>
            <c:extLst>
              <c:ext xmlns:c16="http://schemas.microsoft.com/office/drawing/2014/chart" uri="{C3380CC4-5D6E-409C-BE32-E72D297353CC}">
                <c16:uniqueId val="{00000007-A339-49F4-80BB-987C52230841}"/>
              </c:ext>
            </c:extLst>
          </c:dPt>
          <c:dLbls>
            <c:dLbl>
              <c:idx val="0"/>
              <c:spPr/>
              <c:txPr>
                <a:bodyPr wrap="none"/>
                <a:lstStyle/>
                <a:p>
                  <a:pPr>
                    <a:defRPr sz="1000" b="0" strike="noStrike" spc="-1">
                      <a:latin typeface="Arial"/>
                    </a:defRPr>
                  </a:pPr>
                  <a:endParaRPr lang="fr-FR"/>
                </a:p>
              </c:txPr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6="http://schemas.microsoft.com/office/drawing/2014/chart" uri="{C3380CC4-5D6E-409C-BE32-E72D297353CC}">
                  <c16:uniqueId val="{00000001-A339-49F4-80BB-987C52230841}"/>
                </c:ext>
              </c:extLst>
            </c:dLbl>
            <c:dLbl>
              <c:idx val="1"/>
              <c:spPr/>
              <c:txPr>
                <a:bodyPr wrap="none"/>
                <a:lstStyle/>
                <a:p>
                  <a:pPr>
                    <a:defRPr sz="1000" b="0" strike="noStrike" spc="-1">
                      <a:latin typeface="Arial"/>
                    </a:defRPr>
                  </a:pPr>
                  <a:endParaRPr lang="fr-FR"/>
                </a:p>
              </c:txPr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6="http://schemas.microsoft.com/office/drawing/2014/chart" uri="{C3380CC4-5D6E-409C-BE32-E72D297353CC}">
                  <c16:uniqueId val="{00000003-A339-49F4-80BB-987C52230841}"/>
                </c:ext>
              </c:extLst>
            </c:dLbl>
            <c:dLbl>
              <c:idx val="2"/>
              <c:spPr/>
              <c:txPr>
                <a:bodyPr wrap="none"/>
                <a:lstStyle/>
                <a:p>
                  <a:pPr>
                    <a:defRPr sz="1000" b="0" strike="noStrike" spc="-1">
                      <a:latin typeface="Arial"/>
                    </a:defRPr>
                  </a:pPr>
                  <a:endParaRPr lang="fr-FR"/>
                </a:p>
              </c:txPr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6="http://schemas.microsoft.com/office/drawing/2014/chart" uri="{C3380CC4-5D6E-409C-BE32-E72D297353CC}">
                  <c16:uniqueId val="{00000005-A339-49F4-80BB-987C52230841}"/>
                </c:ext>
              </c:extLst>
            </c:dLbl>
            <c:dLbl>
              <c:idx val="3"/>
              <c:spPr/>
              <c:txPr>
                <a:bodyPr wrap="none"/>
                <a:lstStyle/>
                <a:p>
                  <a:pPr>
                    <a:defRPr sz="1000" b="0" strike="noStrike" spc="-1">
                      <a:latin typeface="Arial"/>
                    </a:defRPr>
                  </a:pPr>
                  <a:endParaRPr lang="fr-FR"/>
                </a:p>
              </c:txPr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6="http://schemas.microsoft.com/office/drawing/2014/chart" uri="{C3380CC4-5D6E-409C-BE32-E72D297353CC}">
                  <c16:uniqueId val="{00000007-A339-49F4-80BB-987C5223084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none"/>
              <a:lstStyle/>
              <a:p>
                <a:pPr>
                  <a:defRPr sz="1000" b="0" strike="noStrike" spc="-1">
                    <a:latin typeface="Arial"/>
                  </a:defRPr>
                </a:pPr>
                <a:endParaRPr lang="fr-FR"/>
              </a:p>
            </c:txPr>
            <c:showLegendKey val="0"/>
            <c:showVal val="0"/>
            <c:showCatName val="0"/>
            <c:showSerName val="0"/>
            <c:showPercent val="0"/>
            <c:showBubbleSize val="1"/>
            <c:separator> </c:separator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Dashboard!$A$13:$A$16</c:f>
              <c:strCache>
                <c:ptCount val="4"/>
                <c:pt idx="0">
                  <c:v>En service</c:v>
                </c:pt>
                <c:pt idx="1">
                  <c:v>En stock</c:v>
                </c:pt>
                <c:pt idx="2">
                  <c:v>En maintenance</c:v>
                </c:pt>
                <c:pt idx="3">
                  <c:v>Reforme</c:v>
                </c:pt>
              </c:strCache>
            </c:strRef>
          </c:cat>
          <c:val>
            <c:numRef>
              <c:f>Dashboard!$B$13:$B$16</c:f>
              <c:numCache>
                <c:formatCode>General</c:formatCode>
                <c:ptCount val="4"/>
                <c:pt idx="0">
                  <c:v>12</c:v>
                </c:pt>
                <c:pt idx="1">
                  <c:v>12</c:v>
                </c:pt>
                <c:pt idx="2">
                  <c:v>8</c:v>
                </c:pt>
                <c:pt idx="3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339-49F4-80BB-987C522308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0">
          <a:noFill/>
        </a:ln>
      </c:spPr>
    </c:plotArea>
    <c:legend>
      <c:legendPos val="r"/>
      <c:overlay val="0"/>
      <c:spPr>
        <a:noFill/>
        <a:ln w="0">
          <a:noFill/>
        </a:ln>
      </c:spPr>
      <c:txPr>
        <a:bodyPr/>
        <a:lstStyle/>
        <a:p>
          <a:pPr>
            <a:defRPr sz="1000" b="0" strike="noStrike" spc="-1">
              <a:solidFill>
                <a:srgbClr val="000000"/>
              </a:solidFill>
              <a:latin typeface="Calibri"/>
            </a:defRPr>
          </a:pPr>
          <a:endParaRPr lang="fr-FR"/>
        </a:p>
      </c:txPr>
    </c:legend>
    <c:plotVisOnly val="1"/>
    <c:dispBlanksAs val="gap"/>
    <c:showDLblsOverMax val="1"/>
  </c:chart>
  <c:spPr>
    <a:solidFill>
      <a:srgbClr val="FFFFFF"/>
    </a:solidFill>
    <a:ln w="9360">
      <a:solidFill>
        <a:srgbClr val="D9D9D9"/>
      </a:solidFill>
      <a:round/>
    </a:ln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0</xdr:colOff>
      <xdr:row>1</xdr:row>
      <xdr:rowOff>130680</xdr:rowOff>
    </xdr:from>
    <xdr:to>
      <xdr:col>14</xdr:col>
      <xdr:colOff>147600</xdr:colOff>
      <xdr:row>16</xdr:row>
      <xdr:rowOff>153000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6</xdr:col>
      <xdr:colOff>0</xdr:colOff>
      <xdr:row>18</xdr:row>
      <xdr:rowOff>130680</xdr:rowOff>
    </xdr:from>
    <xdr:to>
      <xdr:col>14</xdr:col>
      <xdr:colOff>147600</xdr:colOff>
      <xdr:row>33</xdr:row>
      <xdr:rowOff>153000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/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I45"/>
  <sheetViews>
    <sheetView tabSelected="1" zoomScaleNormal="100" workbookViewId="0">
      <pane ySplit="4" topLeftCell="A5" activePane="bottomLeft" state="frozen"/>
      <selection pane="bottomLeft" activeCell="I45" sqref="I45"/>
    </sheetView>
  </sheetViews>
  <sheetFormatPr baseColWidth="10" defaultColWidth="8.7109375" defaultRowHeight="15" x14ac:dyDescent="0.25"/>
  <cols>
    <col min="1" max="1" width="14" customWidth="1"/>
    <col min="2" max="2" width="18" customWidth="1"/>
    <col min="3" max="3" width="20" customWidth="1"/>
    <col min="4" max="5" width="18" customWidth="1"/>
    <col min="6" max="6" width="14" customWidth="1"/>
    <col min="7" max="7" width="16" customWidth="1"/>
    <col min="8" max="8" width="13" customWidth="1"/>
    <col min="9" max="9" width="11" customWidth="1"/>
  </cols>
  <sheetData>
    <row r="1" spans="1:9" ht="20.25" x14ac:dyDescent="0.3">
      <c r="A1" s="1" t="s">
        <v>0</v>
      </c>
    </row>
    <row r="2" spans="1:9" x14ac:dyDescent="0.25">
      <c r="A2" s="2" t="s">
        <v>1</v>
      </c>
    </row>
    <row r="4" spans="1:9" ht="30" x14ac:dyDescent="0.25">
      <c r="A4" s="3" t="s">
        <v>2</v>
      </c>
      <c r="B4" s="3" t="s">
        <v>3</v>
      </c>
      <c r="C4" s="3" t="s">
        <v>4</v>
      </c>
      <c r="D4" s="3" t="s">
        <v>5</v>
      </c>
      <c r="E4" s="3" t="s">
        <v>6</v>
      </c>
      <c r="F4" s="3" t="s">
        <v>7</v>
      </c>
      <c r="G4" s="3" t="s">
        <v>8</v>
      </c>
      <c r="H4" s="3" t="s">
        <v>9</v>
      </c>
      <c r="I4" s="3" t="s">
        <v>10</v>
      </c>
    </row>
    <row r="5" spans="1:9" x14ac:dyDescent="0.25">
      <c r="A5" s="4" t="s">
        <v>11</v>
      </c>
      <c r="B5" s="4" t="s">
        <v>12</v>
      </c>
      <c r="C5" s="4" t="s">
        <v>13</v>
      </c>
      <c r="D5" s="4" t="s">
        <v>14</v>
      </c>
      <c r="E5" s="4" t="s">
        <v>15</v>
      </c>
      <c r="F5" s="4" t="s">
        <v>16</v>
      </c>
      <c r="G5" s="4" t="s">
        <v>17</v>
      </c>
      <c r="H5" s="4" t="s">
        <v>18</v>
      </c>
      <c r="I5" s="5" t="str">
        <f t="shared" ref="I5:I44" si="0">IF(COUNTIF($B$5:$B$44,B5)&gt;1,"DOUBLON","OK")</f>
        <v>DOUBLON</v>
      </c>
    </row>
    <row r="6" spans="1:9" x14ac:dyDescent="0.25">
      <c r="A6" s="4" t="s">
        <v>19</v>
      </c>
      <c r="B6" s="4" t="s">
        <v>20</v>
      </c>
      <c r="C6" s="4" t="s">
        <v>13</v>
      </c>
      <c r="D6" s="4" t="s">
        <v>14</v>
      </c>
      <c r="E6" s="4" t="s">
        <v>21</v>
      </c>
      <c r="F6" s="4" t="s">
        <v>22</v>
      </c>
      <c r="G6" s="4" t="s">
        <v>23</v>
      </c>
      <c r="H6" s="4" t="s">
        <v>24</v>
      </c>
      <c r="I6" s="5" t="str">
        <f t="shared" si="0"/>
        <v>OK</v>
      </c>
    </row>
    <row r="7" spans="1:9" x14ac:dyDescent="0.25">
      <c r="A7" s="4" t="s">
        <v>25</v>
      </c>
      <c r="B7" s="4" t="s">
        <v>26</v>
      </c>
      <c r="C7" s="4" t="s">
        <v>13</v>
      </c>
      <c r="D7" s="4" t="s">
        <v>14</v>
      </c>
      <c r="E7" s="4" t="s">
        <v>27</v>
      </c>
      <c r="F7" s="4" t="s">
        <v>28</v>
      </c>
      <c r="G7" s="4" t="s">
        <v>29</v>
      </c>
      <c r="H7" s="4" t="s">
        <v>24</v>
      </c>
      <c r="I7" s="5" t="str">
        <f t="shared" si="0"/>
        <v>OK</v>
      </c>
    </row>
    <row r="8" spans="1:9" x14ac:dyDescent="0.25">
      <c r="A8" s="4" t="s">
        <v>30</v>
      </c>
      <c r="B8" s="4" t="s">
        <v>31</v>
      </c>
      <c r="C8" s="4" t="s">
        <v>32</v>
      </c>
      <c r="D8" s="4" t="s">
        <v>33</v>
      </c>
      <c r="E8" s="4" t="s">
        <v>34</v>
      </c>
      <c r="F8" s="4" t="s">
        <v>35</v>
      </c>
      <c r="G8" s="4" t="s">
        <v>17</v>
      </c>
      <c r="H8" s="4" t="s">
        <v>36</v>
      </c>
      <c r="I8" s="5" t="str">
        <f t="shared" si="0"/>
        <v>OK</v>
      </c>
    </row>
    <row r="9" spans="1:9" x14ac:dyDescent="0.25">
      <c r="A9" s="4" t="s">
        <v>37</v>
      </c>
      <c r="B9" s="4" t="s">
        <v>38</v>
      </c>
      <c r="C9" s="4" t="s">
        <v>32</v>
      </c>
      <c r="D9" s="4" t="s">
        <v>33</v>
      </c>
      <c r="E9" s="4" t="s">
        <v>39</v>
      </c>
      <c r="F9" s="4" t="s">
        <v>40</v>
      </c>
      <c r="G9" s="4" t="s">
        <v>41</v>
      </c>
      <c r="H9" s="4" t="s">
        <v>18</v>
      </c>
      <c r="I9" s="5" t="str">
        <f t="shared" si="0"/>
        <v>OK</v>
      </c>
    </row>
    <row r="10" spans="1:9" x14ac:dyDescent="0.25">
      <c r="A10" s="4" t="s">
        <v>42</v>
      </c>
      <c r="B10" s="4" t="s">
        <v>43</v>
      </c>
      <c r="C10" s="4" t="s">
        <v>44</v>
      </c>
      <c r="D10" s="4" t="s">
        <v>33</v>
      </c>
      <c r="E10" s="4" t="s">
        <v>45</v>
      </c>
      <c r="F10" s="4" t="s">
        <v>46</v>
      </c>
      <c r="G10" s="4" t="s">
        <v>17</v>
      </c>
      <c r="H10" s="4" t="s">
        <v>47</v>
      </c>
      <c r="I10" s="5" t="str">
        <f t="shared" si="0"/>
        <v>OK</v>
      </c>
    </row>
    <row r="11" spans="1:9" x14ac:dyDescent="0.25">
      <c r="A11" s="4" t="s">
        <v>48</v>
      </c>
      <c r="B11" s="4" t="s">
        <v>49</v>
      </c>
      <c r="C11" s="4" t="s">
        <v>13</v>
      </c>
      <c r="D11" s="4" t="s">
        <v>14</v>
      </c>
      <c r="E11" s="4" t="s">
        <v>50</v>
      </c>
      <c r="F11" s="4" t="s">
        <v>51</v>
      </c>
      <c r="G11" s="4" t="s">
        <v>52</v>
      </c>
      <c r="H11" s="4" t="s">
        <v>47</v>
      </c>
      <c r="I11" s="5" t="str">
        <f t="shared" si="0"/>
        <v>OK</v>
      </c>
    </row>
    <row r="12" spans="1:9" x14ac:dyDescent="0.25">
      <c r="A12" s="4" t="s">
        <v>53</v>
      </c>
      <c r="B12" s="4" t="s">
        <v>54</v>
      </c>
      <c r="C12" s="4" t="s">
        <v>32</v>
      </c>
      <c r="D12" s="4" t="s">
        <v>33</v>
      </c>
      <c r="E12" s="4" t="s">
        <v>55</v>
      </c>
      <c r="F12" s="4" t="s">
        <v>56</v>
      </c>
      <c r="G12" s="4" t="s">
        <v>23</v>
      </c>
      <c r="H12" s="4" t="s">
        <v>24</v>
      </c>
      <c r="I12" s="5" t="str">
        <f t="shared" si="0"/>
        <v>DOUBLON</v>
      </c>
    </row>
    <row r="13" spans="1:9" x14ac:dyDescent="0.25">
      <c r="A13" s="4" t="s">
        <v>57</v>
      </c>
      <c r="B13" s="4" t="s">
        <v>58</v>
      </c>
      <c r="C13" s="4" t="s">
        <v>44</v>
      </c>
      <c r="D13" s="4" t="s">
        <v>33</v>
      </c>
      <c r="E13" s="4" t="s">
        <v>59</v>
      </c>
      <c r="F13" s="4" t="s">
        <v>60</v>
      </c>
      <c r="G13" s="4" t="s">
        <v>41</v>
      </c>
      <c r="H13" s="4" t="s">
        <v>47</v>
      </c>
      <c r="I13" s="5" t="str">
        <f t="shared" si="0"/>
        <v>OK</v>
      </c>
    </row>
    <row r="14" spans="1:9" x14ac:dyDescent="0.25">
      <c r="A14" s="4" t="s">
        <v>61</v>
      </c>
      <c r="B14" s="4" t="s">
        <v>62</v>
      </c>
      <c r="C14" s="4" t="s">
        <v>32</v>
      </c>
      <c r="D14" s="4" t="s">
        <v>33</v>
      </c>
      <c r="E14" s="4" t="s">
        <v>63</v>
      </c>
      <c r="F14" s="4" t="s">
        <v>64</v>
      </c>
      <c r="G14" s="4" t="s">
        <v>65</v>
      </c>
      <c r="H14" s="4" t="s">
        <v>18</v>
      </c>
      <c r="I14" s="5" t="str">
        <f t="shared" si="0"/>
        <v>OK</v>
      </c>
    </row>
    <row r="15" spans="1:9" x14ac:dyDescent="0.25">
      <c r="A15" s="4" t="s">
        <v>66</v>
      </c>
      <c r="B15" s="4" t="s">
        <v>67</v>
      </c>
      <c r="C15" s="4" t="s">
        <v>68</v>
      </c>
      <c r="D15" s="4" t="s">
        <v>14</v>
      </c>
      <c r="E15" s="4" t="s">
        <v>69</v>
      </c>
      <c r="F15" s="4" t="s">
        <v>70</v>
      </c>
      <c r="G15" s="4" t="s">
        <v>71</v>
      </c>
      <c r="H15" s="4" t="s">
        <v>36</v>
      </c>
      <c r="I15" s="5" t="str">
        <f t="shared" si="0"/>
        <v>OK</v>
      </c>
    </row>
    <row r="16" spans="1:9" x14ac:dyDescent="0.25">
      <c r="A16" s="4" t="s">
        <v>72</v>
      </c>
      <c r="B16" s="4" t="s">
        <v>73</v>
      </c>
      <c r="C16" s="4" t="s">
        <v>68</v>
      </c>
      <c r="D16" s="4" t="s">
        <v>14</v>
      </c>
      <c r="E16" s="4" t="s">
        <v>74</v>
      </c>
      <c r="F16" s="4" t="s">
        <v>75</v>
      </c>
      <c r="G16" s="4" t="s">
        <v>52</v>
      </c>
      <c r="H16" s="4" t="s">
        <v>47</v>
      </c>
      <c r="I16" s="5" t="str">
        <f t="shared" si="0"/>
        <v>DOUBLON</v>
      </c>
    </row>
    <row r="17" spans="1:9" x14ac:dyDescent="0.25">
      <c r="A17" s="4" t="s">
        <v>76</v>
      </c>
      <c r="B17" s="4" t="s">
        <v>73</v>
      </c>
      <c r="C17" s="4" t="s">
        <v>77</v>
      </c>
      <c r="D17" s="4" t="s">
        <v>14</v>
      </c>
      <c r="E17" s="4" t="s">
        <v>78</v>
      </c>
      <c r="F17" s="4" t="s">
        <v>79</v>
      </c>
      <c r="G17" s="4" t="s">
        <v>65</v>
      </c>
      <c r="H17" s="4" t="s">
        <v>18</v>
      </c>
      <c r="I17" s="5" t="str">
        <f t="shared" si="0"/>
        <v>DOUBLON</v>
      </c>
    </row>
    <row r="18" spans="1:9" x14ac:dyDescent="0.25">
      <c r="A18" s="4" t="s">
        <v>80</v>
      </c>
      <c r="B18" s="4" t="s">
        <v>81</v>
      </c>
      <c r="C18" s="4" t="s">
        <v>32</v>
      </c>
      <c r="D18" s="4" t="s">
        <v>33</v>
      </c>
      <c r="E18" s="4" t="s">
        <v>82</v>
      </c>
      <c r="F18" s="4" t="s">
        <v>83</v>
      </c>
      <c r="G18" s="4" t="s">
        <v>23</v>
      </c>
      <c r="H18" s="4" t="s">
        <v>47</v>
      </c>
      <c r="I18" s="5" t="str">
        <f t="shared" si="0"/>
        <v>OK</v>
      </c>
    </row>
    <row r="19" spans="1:9" x14ac:dyDescent="0.25">
      <c r="A19" s="4" t="s">
        <v>84</v>
      </c>
      <c r="B19" s="4" t="s">
        <v>85</v>
      </c>
      <c r="C19" s="4" t="s">
        <v>32</v>
      </c>
      <c r="D19" s="4" t="s">
        <v>33</v>
      </c>
      <c r="E19" s="4" t="s">
        <v>86</v>
      </c>
      <c r="F19" s="4" t="s">
        <v>87</v>
      </c>
      <c r="G19" s="4" t="s">
        <v>41</v>
      </c>
      <c r="H19" s="4" t="s">
        <v>24</v>
      </c>
      <c r="I19" s="5" t="str">
        <f t="shared" si="0"/>
        <v>OK</v>
      </c>
    </row>
    <row r="20" spans="1:9" x14ac:dyDescent="0.25">
      <c r="A20" s="4" t="s">
        <v>88</v>
      </c>
      <c r="B20" s="4" t="s">
        <v>89</v>
      </c>
      <c r="C20" s="4" t="s">
        <v>77</v>
      </c>
      <c r="D20" s="4" t="s">
        <v>14</v>
      </c>
      <c r="E20" s="4" t="s">
        <v>90</v>
      </c>
      <c r="F20" s="4" t="s">
        <v>91</v>
      </c>
      <c r="G20" s="4" t="s">
        <v>52</v>
      </c>
      <c r="H20" s="4" t="s">
        <v>24</v>
      </c>
      <c r="I20" s="5" t="str">
        <f t="shared" si="0"/>
        <v>OK</v>
      </c>
    </row>
    <row r="21" spans="1:9" x14ac:dyDescent="0.25">
      <c r="A21" s="4" t="s">
        <v>92</v>
      </c>
      <c r="B21" s="4" t="s">
        <v>93</v>
      </c>
      <c r="C21" s="4" t="s">
        <v>77</v>
      </c>
      <c r="D21" s="4" t="s">
        <v>14</v>
      </c>
      <c r="E21" s="4" t="s">
        <v>94</v>
      </c>
      <c r="F21" s="4" t="s">
        <v>95</v>
      </c>
      <c r="G21" s="4" t="s">
        <v>23</v>
      </c>
      <c r="H21" s="4" t="s">
        <v>36</v>
      </c>
      <c r="I21" s="5" t="str">
        <f t="shared" si="0"/>
        <v>OK</v>
      </c>
    </row>
    <row r="22" spans="1:9" x14ac:dyDescent="0.25">
      <c r="A22" s="4" t="s">
        <v>96</v>
      </c>
      <c r="B22" s="4" t="s">
        <v>97</v>
      </c>
      <c r="C22" s="4" t="s">
        <v>44</v>
      </c>
      <c r="D22" s="4" t="s">
        <v>33</v>
      </c>
      <c r="E22" s="4" t="s">
        <v>98</v>
      </c>
      <c r="F22" s="4" t="s">
        <v>99</v>
      </c>
      <c r="G22" s="4" t="s">
        <v>17</v>
      </c>
      <c r="H22" s="4" t="s">
        <v>47</v>
      </c>
      <c r="I22" s="5" t="str">
        <f t="shared" si="0"/>
        <v>OK</v>
      </c>
    </row>
    <row r="23" spans="1:9" x14ac:dyDescent="0.25">
      <c r="A23" s="4" t="s">
        <v>100</v>
      </c>
      <c r="B23" s="4" t="s">
        <v>101</v>
      </c>
      <c r="C23" s="4" t="s">
        <v>32</v>
      </c>
      <c r="D23" s="4" t="s">
        <v>33</v>
      </c>
      <c r="E23" s="4" t="s">
        <v>102</v>
      </c>
      <c r="F23" s="4" t="s">
        <v>91</v>
      </c>
      <c r="G23" s="4" t="s">
        <v>52</v>
      </c>
      <c r="H23" s="4" t="s">
        <v>18</v>
      </c>
      <c r="I23" s="5" t="str">
        <f t="shared" si="0"/>
        <v>OK</v>
      </c>
    </row>
    <row r="24" spans="1:9" x14ac:dyDescent="0.25">
      <c r="A24" s="4" t="s">
        <v>103</v>
      </c>
      <c r="B24" s="4" t="s">
        <v>104</v>
      </c>
      <c r="C24" s="4" t="s">
        <v>77</v>
      </c>
      <c r="D24" s="4" t="s">
        <v>14</v>
      </c>
      <c r="E24" s="4" t="s">
        <v>105</v>
      </c>
      <c r="F24" s="4" t="s">
        <v>106</v>
      </c>
      <c r="G24" s="4" t="s">
        <v>41</v>
      </c>
      <c r="H24" s="4" t="s">
        <v>24</v>
      </c>
      <c r="I24" s="5" t="str">
        <f t="shared" si="0"/>
        <v>OK</v>
      </c>
    </row>
    <row r="25" spans="1:9" x14ac:dyDescent="0.25">
      <c r="A25" s="4" t="s">
        <v>107</v>
      </c>
      <c r="B25" s="4" t="s">
        <v>108</v>
      </c>
      <c r="C25" s="4" t="s">
        <v>13</v>
      </c>
      <c r="D25" s="4" t="s">
        <v>14</v>
      </c>
      <c r="E25" s="4" t="s">
        <v>109</v>
      </c>
      <c r="F25" s="4" t="s">
        <v>110</v>
      </c>
      <c r="G25" s="4" t="s">
        <v>65</v>
      </c>
      <c r="H25" s="4" t="s">
        <v>36</v>
      </c>
      <c r="I25" s="5" t="str">
        <f t="shared" si="0"/>
        <v>OK</v>
      </c>
    </row>
    <row r="26" spans="1:9" x14ac:dyDescent="0.25">
      <c r="A26" s="4" t="s">
        <v>111</v>
      </c>
      <c r="B26" s="4" t="s">
        <v>112</v>
      </c>
      <c r="C26" s="4" t="s">
        <v>32</v>
      </c>
      <c r="D26" s="4" t="s">
        <v>33</v>
      </c>
      <c r="E26" s="4" t="s">
        <v>113</v>
      </c>
      <c r="F26" s="4" t="s">
        <v>114</v>
      </c>
      <c r="G26" s="4" t="s">
        <v>29</v>
      </c>
      <c r="H26" s="4" t="s">
        <v>36</v>
      </c>
      <c r="I26" s="5" t="str">
        <f t="shared" si="0"/>
        <v>OK</v>
      </c>
    </row>
    <row r="27" spans="1:9" x14ac:dyDescent="0.25">
      <c r="A27" s="4" t="s">
        <v>115</v>
      </c>
      <c r="B27" s="4" t="s">
        <v>116</v>
      </c>
      <c r="C27" s="4" t="s">
        <v>32</v>
      </c>
      <c r="D27" s="4" t="s">
        <v>33</v>
      </c>
      <c r="E27" s="4" t="s">
        <v>117</v>
      </c>
      <c r="F27" s="4" t="s">
        <v>70</v>
      </c>
      <c r="G27" s="4" t="s">
        <v>71</v>
      </c>
      <c r="H27" s="4" t="s">
        <v>24</v>
      </c>
      <c r="I27" s="5" t="str">
        <f t="shared" si="0"/>
        <v>OK</v>
      </c>
    </row>
    <row r="28" spans="1:9" x14ac:dyDescent="0.25">
      <c r="A28" s="4" t="s">
        <v>118</v>
      </c>
      <c r="B28" s="4" t="s">
        <v>119</v>
      </c>
      <c r="C28" s="4" t="s">
        <v>32</v>
      </c>
      <c r="D28" s="4" t="s">
        <v>33</v>
      </c>
      <c r="E28" s="4" t="s">
        <v>120</v>
      </c>
      <c r="F28" s="4" t="s">
        <v>121</v>
      </c>
      <c r="G28" s="4" t="s">
        <v>52</v>
      </c>
      <c r="H28" s="4" t="s">
        <v>36</v>
      </c>
      <c r="I28" s="5" t="str">
        <f t="shared" si="0"/>
        <v>OK</v>
      </c>
    </row>
    <row r="29" spans="1:9" x14ac:dyDescent="0.25">
      <c r="A29" s="4" t="s">
        <v>122</v>
      </c>
      <c r="B29" s="4" t="s">
        <v>123</v>
      </c>
      <c r="C29" s="4" t="s">
        <v>77</v>
      </c>
      <c r="D29" s="4" t="s">
        <v>14</v>
      </c>
      <c r="E29" s="4" t="s">
        <v>124</v>
      </c>
      <c r="F29" s="4" t="s">
        <v>125</v>
      </c>
      <c r="G29" s="4" t="s">
        <v>65</v>
      </c>
      <c r="H29" s="4" t="s">
        <v>47</v>
      </c>
      <c r="I29" s="5" t="str">
        <f t="shared" si="0"/>
        <v>OK</v>
      </c>
    </row>
    <row r="30" spans="1:9" x14ac:dyDescent="0.25">
      <c r="A30" s="4" t="s">
        <v>126</v>
      </c>
      <c r="B30" s="4" t="s">
        <v>127</v>
      </c>
      <c r="C30" s="4" t="s">
        <v>32</v>
      </c>
      <c r="D30" s="4" t="s">
        <v>33</v>
      </c>
      <c r="E30" s="4" t="s">
        <v>128</v>
      </c>
      <c r="F30" s="4" t="s">
        <v>129</v>
      </c>
      <c r="G30" s="4" t="s">
        <v>71</v>
      </c>
      <c r="H30" s="4" t="s">
        <v>47</v>
      </c>
      <c r="I30" s="5" t="str">
        <f t="shared" si="0"/>
        <v>OK</v>
      </c>
    </row>
    <row r="31" spans="1:9" x14ac:dyDescent="0.25">
      <c r="A31" s="4" t="s">
        <v>130</v>
      </c>
      <c r="B31" s="4" t="s">
        <v>131</v>
      </c>
      <c r="C31" s="4" t="s">
        <v>32</v>
      </c>
      <c r="D31" s="4" t="s">
        <v>33</v>
      </c>
      <c r="E31" s="4" t="s">
        <v>132</v>
      </c>
      <c r="F31" s="4" t="s">
        <v>133</v>
      </c>
      <c r="G31" s="4" t="s">
        <v>41</v>
      </c>
      <c r="H31" s="4" t="s">
        <v>18</v>
      </c>
      <c r="I31" s="5" t="str">
        <f t="shared" si="0"/>
        <v>OK</v>
      </c>
    </row>
    <row r="32" spans="1:9" x14ac:dyDescent="0.25">
      <c r="A32" s="4" t="s">
        <v>134</v>
      </c>
      <c r="B32" s="4" t="s">
        <v>12</v>
      </c>
      <c r="C32" s="4" t="s">
        <v>32</v>
      </c>
      <c r="D32" s="4" t="s">
        <v>33</v>
      </c>
      <c r="E32" s="4" t="s">
        <v>135</v>
      </c>
      <c r="F32" s="4" t="s">
        <v>136</v>
      </c>
      <c r="G32" s="4" t="s">
        <v>23</v>
      </c>
      <c r="H32" s="4" t="s">
        <v>24</v>
      </c>
      <c r="I32" s="5" t="str">
        <f t="shared" si="0"/>
        <v>DOUBLON</v>
      </c>
    </row>
    <row r="33" spans="1:9" x14ac:dyDescent="0.25">
      <c r="A33" s="4" t="s">
        <v>137</v>
      </c>
      <c r="B33" s="4" t="s">
        <v>138</v>
      </c>
      <c r="C33" s="4" t="s">
        <v>13</v>
      </c>
      <c r="D33" s="4" t="s">
        <v>14</v>
      </c>
      <c r="E33" s="4" t="s">
        <v>139</v>
      </c>
      <c r="F33" s="4" t="s">
        <v>140</v>
      </c>
      <c r="G33" s="4" t="s">
        <v>71</v>
      </c>
      <c r="H33" s="4" t="s">
        <v>18</v>
      </c>
      <c r="I33" s="5" t="str">
        <f t="shared" si="0"/>
        <v>OK</v>
      </c>
    </row>
    <row r="34" spans="1:9" x14ac:dyDescent="0.25">
      <c r="A34" s="4" t="s">
        <v>141</v>
      </c>
      <c r="B34" s="4" t="s">
        <v>142</v>
      </c>
      <c r="C34" s="4" t="s">
        <v>32</v>
      </c>
      <c r="D34" s="4" t="s">
        <v>33</v>
      </c>
      <c r="E34" s="4" t="s">
        <v>143</v>
      </c>
      <c r="F34" s="4" t="s">
        <v>56</v>
      </c>
      <c r="G34" s="4" t="s">
        <v>23</v>
      </c>
      <c r="H34" s="4" t="s">
        <v>24</v>
      </c>
      <c r="I34" s="5" t="str">
        <f t="shared" si="0"/>
        <v>OK</v>
      </c>
    </row>
    <row r="35" spans="1:9" x14ac:dyDescent="0.25">
      <c r="A35" s="4" t="s">
        <v>144</v>
      </c>
      <c r="B35" s="4" t="s">
        <v>145</v>
      </c>
      <c r="C35" s="4" t="s">
        <v>32</v>
      </c>
      <c r="D35" s="4" t="s">
        <v>33</v>
      </c>
      <c r="E35" s="4" t="s">
        <v>146</v>
      </c>
      <c r="F35" s="4" t="s">
        <v>147</v>
      </c>
      <c r="G35" s="4" t="s">
        <v>23</v>
      </c>
      <c r="H35" s="4" t="s">
        <v>18</v>
      </c>
      <c r="I35" s="5" t="str">
        <f t="shared" si="0"/>
        <v>OK</v>
      </c>
    </row>
    <row r="36" spans="1:9" x14ac:dyDescent="0.25">
      <c r="A36" s="4" t="s">
        <v>148</v>
      </c>
      <c r="B36" s="4" t="s">
        <v>149</v>
      </c>
      <c r="C36" s="4" t="s">
        <v>68</v>
      </c>
      <c r="D36" s="4" t="s">
        <v>14</v>
      </c>
      <c r="E36" s="4" t="s">
        <v>150</v>
      </c>
      <c r="F36" s="4" t="s">
        <v>151</v>
      </c>
      <c r="G36" s="4" t="s">
        <v>17</v>
      </c>
      <c r="H36" s="4" t="s">
        <v>18</v>
      </c>
      <c r="I36" s="5" t="str">
        <f t="shared" si="0"/>
        <v>OK</v>
      </c>
    </row>
    <row r="37" spans="1:9" x14ac:dyDescent="0.25">
      <c r="A37" s="4" t="s">
        <v>152</v>
      </c>
      <c r="B37" s="4" t="s">
        <v>153</v>
      </c>
      <c r="C37" s="4" t="s">
        <v>68</v>
      </c>
      <c r="D37" s="4" t="s">
        <v>14</v>
      </c>
      <c r="E37" s="4" t="s">
        <v>154</v>
      </c>
      <c r="F37" s="4" t="s">
        <v>155</v>
      </c>
      <c r="G37" s="4" t="s">
        <v>29</v>
      </c>
      <c r="H37" s="4" t="s">
        <v>36</v>
      </c>
      <c r="I37" s="5" t="str">
        <f t="shared" si="0"/>
        <v>OK</v>
      </c>
    </row>
    <row r="38" spans="1:9" x14ac:dyDescent="0.25">
      <c r="A38" s="4" t="s">
        <v>156</v>
      </c>
      <c r="B38" s="4" t="s">
        <v>54</v>
      </c>
      <c r="C38" s="4" t="s">
        <v>13</v>
      </c>
      <c r="D38" s="4" t="s">
        <v>14</v>
      </c>
      <c r="E38" s="4" t="s">
        <v>157</v>
      </c>
      <c r="F38" s="4" t="s">
        <v>158</v>
      </c>
      <c r="G38" s="4" t="s">
        <v>71</v>
      </c>
      <c r="H38" s="4" t="s">
        <v>18</v>
      </c>
      <c r="I38" s="5" t="str">
        <f t="shared" si="0"/>
        <v>DOUBLON</v>
      </c>
    </row>
    <row r="39" spans="1:9" x14ac:dyDescent="0.25">
      <c r="A39" s="4" t="s">
        <v>159</v>
      </c>
      <c r="B39" s="4" t="s">
        <v>160</v>
      </c>
      <c r="C39" s="4" t="s">
        <v>32</v>
      </c>
      <c r="D39" s="4" t="s">
        <v>33</v>
      </c>
      <c r="E39" s="4" t="s">
        <v>161</v>
      </c>
      <c r="F39" s="4" t="s">
        <v>162</v>
      </c>
      <c r="G39" s="4" t="s">
        <v>65</v>
      </c>
      <c r="H39" s="4" t="s">
        <v>24</v>
      </c>
      <c r="I39" s="5" t="str">
        <f t="shared" si="0"/>
        <v>OK</v>
      </c>
    </row>
    <row r="40" spans="1:9" x14ac:dyDescent="0.25">
      <c r="A40" s="4" t="s">
        <v>163</v>
      </c>
      <c r="B40" s="4" t="s">
        <v>164</v>
      </c>
      <c r="C40" s="4" t="s">
        <v>77</v>
      </c>
      <c r="D40" s="4" t="s">
        <v>14</v>
      </c>
      <c r="E40" s="4" t="s">
        <v>165</v>
      </c>
      <c r="F40" s="4" t="s">
        <v>70</v>
      </c>
      <c r="G40" s="4" t="s">
        <v>52</v>
      </c>
      <c r="H40" s="4" t="s">
        <v>24</v>
      </c>
      <c r="I40" s="5" t="str">
        <f t="shared" si="0"/>
        <v>OK</v>
      </c>
    </row>
    <row r="41" spans="1:9" x14ac:dyDescent="0.25">
      <c r="A41" s="4" t="s">
        <v>166</v>
      </c>
      <c r="B41" s="4" t="s">
        <v>167</v>
      </c>
      <c r="C41" s="4" t="s">
        <v>32</v>
      </c>
      <c r="D41" s="4" t="s">
        <v>33</v>
      </c>
      <c r="E41" s="4" t="s">
        <v>168</v>
      </c>
      <c r="F41" s="4" t="s">
        <v>169</v>
      </c>
      <c r="G41" s="4" t="s">
        <v>23</v>
      </c>
      <c r="H41" s="4" t="s">
        <v>18</v>
      </c>
      <c r="I41" s="5" t="str">
        <f t="shared" si="0"/>
        <v>OK</v>
      </c>
    </row>
    <row r="42" spans="1:9" x14ac:dyDescent="0.25">
      <c r="A42" s="4" t="s">
        <v>170</v>
      </c>
      <c r="B42" s="4" t="s">
        <v>171</v>
      </c>
      <c r="C42" s="4" t="s">
        <v>32</v>
      </c>
      <c r="D42" s="4" t="s">
        <v>33</v>
      </c>
      <c r="E42" s="4" t="s">
        <v>172</v>
      </c>
      <c r="F42" s="4" t="s">
        <v>173</v>
      </c>
      <c r="G42" s="4" t="s">
        <v>23</v>
      </c>
      <c r="H42" s="4" t="s">
        <v>18</v>
      </c>
      <c r="I42" s="5" t="str">
        <f t="shared" si="0"/>
        <v>OK</v>
      </c>
    </row>
    <row r="43" spans="1:9" x14ac:dyDescent="0.25">
      <c r="A43" s="4" t="s">
        <v>174</v>
      </c>
      <c r="B43" s="4" t="s">
        <v>175</v>
      </c>
      <c r="C43" s="4" t="s">
        <v>44</v>
      </c>
      <c r="D43" s="4" t="s">
        <v>33</v>
      </c>
      <c r="E43" s="4" t="s">
        <v>176</v>
      </c>
      <c r="F43" s="4" t="s">
        <v>51</v>
      </c>
      <c r="G43" s="4" t="s">
        <v>71</v>
      </c>
      <c r="H43" s="4" t="s">
        <v>36</v>
      </c>
      <c r="I43" s="5" t="str">
        <f t="shared" si="0"/>
        <v>OK</v>
      </c>
    </row>
    <row r="44" spans="1:9" x14ac:dyDescent="0.25">
      <c r="A44" s="4" t="s">
        <v>177</v>
      </c>
      <c r="B44" s="4" t="s">
        <v>178</v>
      </c>
      <c r="C44" s="4" t="s">
        <v>68</v>
      </c>
      <c r="D44" s="4" t="s">
        <v>14</v>
      </c>
      <c r="E44" s="4" t="s">
        <v>179</v>
      </c>
      <c r="F44" s="4" t="s">
        <v>83</v>
      </c>
      <c r="G44" s="4" t="s">
        <v>41</v>
      </c>
      <c r="H44" s="4" t="s">
        <v>24</v>
      </c>
      <c r="I44" s="5" t="str">
        <f t="shared" si="0"/>
        <v>OK</v>
      </c>
    </row>
    <row r="45" spans="1:9" x14ac:dyDescent="0.25">
      <c r="A45" t="s">
        <v>235</v>
      </c>
      <c r="B45" t="s">
        <v>236</v>
      </c>
      <c r="F45" t="s">
        <v>237</v>
      </c>
      <c r="H45" t="s">
        <v>18</v>
      </c>
      <c r="I45" t="str">
        <f>IF(COUNTIF($B$5:$B45,B45)&gt;1,"DOUBLON","OK")</f>
        <v>OK</v>
      </c>
    </row>
  </sheetData>
  <conditionalFormatting sqref="I5:I44">
    <cfRule type="expression" dxfId="2" priority="2">
      <formula>I5="DOUBLON"</formula>
    </cfRule>
    <cfRule type="expression" dxfId="1" priority="3">
      <formula>I5="OK"</formula>
    </cfRule>
  </conditionalFormatting>
  <pageMargins left="0.75" right="0.75" top="1" bottom="1" header="0.511811023622047" footer="0.511811023622047"/>
  <pageSetup paperSize="9" orientation="portrait" horizontalDpi="300" verticalDpi="3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/>
  <dimension ref="A1:E26"/>
  <sheetViews>
    <sheetView zoomScaleNormal="100" workbookViewId="0"/>
  </sheetViews>
  <sheetFormatPr baseColWidth="10" defaultColWidth="8.7109375" defaultRowHeight="15" x14ac:dyDescent="0.25"/>
  <cols>
    <col min="1" max="1" width="18" customWidth="1"/>
    <col min="2" max="2" width="16" customWidth="1"/>
    <col min="3" max="3" width="20" customWidth="1"/>
    <col min="4" max="4" width="16" customWidth="1"/>
    <col min="5" max="5" width="24" customWidth="1"/>
  </cols>
  <sheetData>
    <row r="1" spans="1:5" ht="20.25" x14ac:dyDescent="0.3">
      <c r="A1" s="1" t="s">
        <v>180</v>
      </c>
    </row>
    <row r="2" spans="1:5" x14ac:dyDescent="0.25">
      <c r="A2" s="2" t="s">
        <v>181</v>
      </c>
    </row>
    <row r="4" spans="1:5" ht="30" x14ac:dyDescent="0.25">
      <c r="A4" s="3" t="s">
        <v>182</v>
      </c>
      <c r="B4" s="3" t="s">
        <v>183</v>
      </c>
      <c r="C4" s="3" t="s">
        <v>184</v>
      </c>
      <c r="D4" s="3" t="s">
        <v>185</v>
      </c>
      <c r="E4" s="3" t="s">
        <v>186</v>
      </c>
    </row>
    <row r="5" spans="1:5" x14ac:dyDescent="0.25">
      <c r="A5" s="6" t="s">
        <v>187</v>
      </c>
      <c r="B5" s="6" t="s">
        <v>48</v>
      </c>
      <c r="C5" s="6" t="s">
        <v>49</v>
      </c>
      <c r="D5" s="6" t="s">
        <v>188</v>
      </c>
      <c r="E5" s="6" t="s">
        <v>189</v>
      </c>
    </row>
    <row r="6" spans="1:5" x14ac:dyDescent="0.25">
      <c r="A6" s="6" t="s">
        <v>190</v>
      </c>
      <c r="B6" s="6" t="s">
        <v>48</v>
      </c>
      <c r="C6" s="6" t="s">
        <v>49</v>
      </c>
      <c r="D6" s="6" t="s">
        <v>188</v>
      </c>
      <c r="E6" s="6" t="s">
        <v>189</v>
      </c>
    </row>
    <row r="7" spans="1:5" x14ac:dyDescent="0.25">
      <c r="A7" s="6" t="s">
        <v>191</v>
      </c>
      <c r="B7" s="6" t="s">
        <v>137</v>
      </c>
      <c r="C7" s="6" t="s">
        <v>138</v>
      </c>
      <c r="D7" s="6" t="s">
        <v>188</v>
      </c>
      <c r="E7" s="6" t="s">
        <v>189</v>
      </c>
    </row>
    <row r="8" spans="1:5" x14ac:dyDescent="0.25">
      <c r="A8" s="6" t="s">
        <v>192</v>
      </c>
      <c r="B8" s="6" t="s">
        <v>141</v>
      </c>
      <c r="C8" s="6" t="s">
        <v>142</v>
      </c>
      <c r="D8" s="6" t="s">
        <v>188</v>
      </c>
      <c r="E8" s="6" t="s">
        <v>189</v>
      </c>
    </row>
    <row r="9" spans="1:5" x14ac:dyDescent="0.25">
      <c r="A9" s="6" t="s">
        <v>193</v>
      </c>
      <c r="B9" s="6" t="s">
        <v>137</v>
      </c>
      <c r="C9" s="6" t="s">
        <v>138</v>
      </c>
      <c r="D9" s="6" t="s">
        <v>194</v>
      </c>
      <c r="E9" s="6" t="s">
        <v>195</v>
      </c>
    </row>
    <row r="10" spans="1:5" x14ac:dyDescent="0.25">
      <c r="A10" s="6" t="s">
        <v>196</v>
      </c>
      <c r="B10" s="6" t="s">
        <v>159</v>
      </c>
      <c r="C10" s="6" t="s">
        <v>160</v>
      </c>
      <c r="D10" s="6" t="s">
        <v>188</v>
      </c>
      <c r="E10" s="6" t="s">
        <v>189</v>
      </c>
    </row>
    <row r="11" spans="1:5" x14ac:dyDescent="0.25">
      <c r="A11" s="6" t="s">
        <v>197</v>
      </c>
      <c r="B11" s="6" t="s">
        <v>66</v>
      </c>
      <c r="C11" s="6" t="s">
        <v>67</v>
      </c>
      <c r="D11" s="6" t="s">
        <v>198</v>
      </c>
      <c r="E11" s="6" t="s">
        <v>189</v>
      </c>
    </row>
    <row r="12" spans="1:5" x14ac:dyDescent="0.25">
      <c r="A12" s="6" t="s">
        <v>199</v>
      </c>
      <c r="B12" s="6" t="s">
        <v>126</v>
      </c>
      <c r="C12" s="6" t="s">
        <v>127</v>
      </c>
      <c r="D12" s="6" t="s">
        <v>188</v>
      </c>
      <c r="E12" s="6" t="s">
        <v>189</v>
      </c>
    </row>
    <row r="13" spans="1:5" x14ac:dyDescent="0.25">
      <c r="A13" s="6" t="s">
        <v>200</v>
      </c>
      <c r="B13" s="6" t="s">
        <v>122</v>
      </c>
      <c r="C13" s="6" t="s">
        <v>123</v>
      </c>
      <c r="D13" s="6" t="s">
        <v>198</v>
      </c>
      <c r="E13" s="6" t="s">
        <v>189</v>
      </c>
    </row>
    <row r="14" spans="1:5" x14ac:dyDescent="0.25">
      <c r="A14" s="6" t="s">
        <v>201</v>
      </c>
      <c r="B14" s="6" t="s">
        <v>100</v>
      </c>
      <c r="C14" s="6" t="s">
        <v>101</v>
      </c>
      <c r="D14" s="6" t="s">
        <v>198</v>
      </c>
      <c r="E14" s="6" t="s">
        <v>189</v>
      </c>
    </row>
    <row r="15" spans="1:5" x14ac:dyDescent="0.25">
      <c r="A15" s="6" t="s">
        <v>202</v>
      </c>
      <c r="B15" s="6" t="s">
        <v>163</v>
      </c>
      <c r="C15" s="6" t="s">
        <v>164</v>
      </c>
      <c r="D15" s="6" t="s">
        <v>194</v>
      </c>
      <c r="E15" s="6" t="s">
        <v>189</v>
      </c>
    </row>
    <row r="16" spans="1:5" x14ac:dyDescent="0.25">
      <c r="A16" s="6" t="s">
        <v>203</v>
      </c>
      <c r="B16" s="6" t="s">
        <v>76</v>
      </c>
      <c r="C16" s="6" t="s">
        <v>73</v>
      </c>
      <c r="D16" s="6" t="s">
        <v>198</v>
      </c>
      <c r="E16" s="6" t="s">
        <v>189</v>
      </c>
    </row>
    <row r="17" spans="1:5" x14ac:dyDescent="0.25">
      <c r="A17" s="6" t="s">
        <v>204</v>
      </c>
      <c r="B17" s="6" t="s">
        <v>170</v>
      </c>
      <c r="C17" s="6" t="s">
        <v>171</v>
      </c>
      <c r="D17" s="6" t="s">
        <v>194</v>
      </c>
      <c r="E17" s="6" t="s">
        <v>189</v>
      </c>
    </row>
    <row r="18" spans="1:5" x14ac:dyDescent="0.25">
      <c r="A18" s="6" t="s">
        <v>205</v>
      </c>
      <c r="B18" s="6" t="s">
        <v>30</v>
      </c>
      <c r="C18" s="6" t="s">
        <v>31</v>
      </c>
      <c r="D18" s="6" t="s">
        <v>188</v>
      </c>
      <c r="E18" s="6" t="s">
        <v>189</v>
      </c>
    </row>
    <row r="19" spans="1:5" x14ac:dyDescent="0.25">
      <c r="A19" s="6" t="s">
        <v>206</v>
      </c>
      <c r="B19" s="6" t="s">
        <v>156</v>
      </c>
      <c r="C19" s="6" t="s">
        <v>54</v>
      </c>
      <c r="D19" s="6" t="s">
        <v>188</v>
      </c>
      <c r="E19" s="6" t="s">
        <v>195</v>
      </c>
    </row>
    <row r="20" spans="1:5" x14ac:dyDescent="0.25">
      <c r="A20" s="6" t="s">
        <v>207</v>
      </c>
      <c r="B20" s="6" t="s">
        <v>42</v>
      </c>
      <c r="C20" s="6" t="s">
        <v>43</v>
      </c>
      <c r="D20" s="6" t="s">
        <v>188</v>
      </c>
      <c r="E20" s="6" t="s">
        <v>195</v>
      </c>
    </row>
    <row r="21" spans="1:5" x14ac:dyDescent="0.25">
      <c r="A21" s="6" t="s">
        <v>208</v>
      </c>
      <c r="B21" s="6" t="s">
        <v>88</v>
      </c>
      <c r="C21" s="6" t="s">
        <v>89</v>
      </c>
      <c r="D21" s="6" t="s">
        <v>198</v>
      </c>
      <c r="E21" s="6" t="s">
        <v>195</v>
      </c>
    </row>
    <row r="22" spans="1:5" x14ac:dyDescent="0.25">
      <c r="A22" s="6" t="s">
        <v>209</v>
      </c>
      <c r="B22" s="6" t="s">
        <v>88</v>
      </c>
      <c r="C22" s="6" t="s">
        <v>89</v>
      </c>
      <c r="D22" s="6" t="s">
        <v>194</v>
      </c>
      <c r="E22" s="6" t="s">
        <v>189</v>
      </c>
    </row>
    <row r="23" spans="1:5" x14ac:dyDescent="0.25">
      <c r="A23" s="6" t="s">
        <v>210</v>
      </c>
      <c r="B23" s="6" t="s">
        <v>42</v>
      </c>
      <c r="C23" s="6" t="s">
        <v>43</v>
      </c>
      <c r="D23" s="6" t="s">
        <v>198</v>
      </c>
      <c r="E23" s="6" t="s">
        <v>189</v>
      </c>
    </row>
    <row r="24" spans="1:5" x14ac:dyDescent="0.25">
      <c r="A24" s="6" t="s">
        <v>211</v>
      </c>
      <c r="B24" s="6" t="s">
        <v>156</v>
      </c>
      <c r="C24" s="6" t="s">
        <v>54</v>
      </c>
      <c r="D24" s="6" t="s">
        <v>198</v>
      </c>
      <c r="E24" s="6" t="s">
        <v>189</v>
      </c>
    </row>
    <row r="25" spans="1:5" x14ac:dyDescent="0.25">
      <c r="A25" t="s">
        <v>234</v>
      </c>
      <c r="B25" t="s">
        <v>92</v>
      </c>
      <c r="C25" t="s">
        <v>93</v>
      </c>
      <c r="D25" t="s">
        <v>194</v>
      </c>
      <c r="E25" t="s">
        <v>195</v>
      </c>
    </row>
    <row r="26" spans="1:5" x14ac:dyDescent="0.25">
      <c r="A26" t="s">
        <v>234</v>
      </c>
      <c r="B26" t="s">
        <v>235</v>
      </c>
      <c r="C26" t="s">
        <v>236</v>
      </c>
      <c r="D26" t="s">
        <v>188</v>
      </c>
      <c r="E26" t="s">
        <v>189</v>
      </c>
    </row>
  </sheetData>
  <conditionalFormatting sqref="E5:E24">
    <cfRule type="expression" dxfId="0" priority="2">
      <formula>E5="Bloque - doublon detecte"</formula>
    </cfRule>
  </conditionalFormatting>
  <pageMargins left="0.75" right="0.75" top="1" bottom="1" header="0.511811023622047" footer="0.511811023622047"/>
  <pageSetup paperSize="9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/>
  <dimension ref="A1:E16"/>
  <sheetViews>
    <sheetView zoomScaleNormal="100" workbookViewId="0"/>
  </sheetViews>
  <sheetFormatPr baseColWidth="10" defaultColWidth="8.7109375" defaultRowHeight="15" x14ac:dyDescent="0.25"/>
  <cols>
    <col min="1" max="1" width="20" customWidth="1"/>
    <col min="2" max="2" width="12" customWidth="1"/>
    <col min="3" max="3" width="4" customWidth="1"/>
    <col min="4" max="4" width="18" customWidth="1"/>
    <col min="5" max="5" width="10" customWidth="1"/>
  </cols>
  <sheetData>
    <row r="1" spans="1:5" ht="20.25" x14ac:dyDescent="0.3">
      <c r="A1" s="1" t="s">
        <v>212</v>
      </c>
    </row>
    <row r="3" spans="1:5" ht="15.75" x14ac:dyDescent="0.25">
      <c r="A3" s="7" t="s">
        <v>213</v>
      </c>
      <c r="D3" s="7" t="s">
        <v>214</v>
      </c>
    </row>
    <row r="4" spans="1:5" x14ac:dyDescent="0.25">
      <c r="A4" s="8" t="s">
        <v>4</v>
      </c>
      <c r="B4" s="8" t="s">
        <v>215</v>
      </c>
      <c r="D4" s="9" t="s">
        <v>216</v>
      </c>
      <c r="E4" s="10">
        <f>COUNTA(Stock_Inventory!$B$5:$B$44)</f>
        <v>40</v>
      </c>
    </row>
    <row r="5" spans="1:5" x14ac:dyDescent="0.25">
      <c r="A5" s="9" t="s">
        <v>13</v>
      </c>
      <c r="B5" s="9">
        <f>COUNTIF(Stock_Inventory!$C$5:$C$44,A5)</f>
        <v>7</v>
      </c>
      <c r="D5" s="9" t="s">
        <v>217</v>
      </c>
      <c r="E5" s="10">
        <f>COUNTIF(Stock_Inventory!$I$5:$I$44,"DOUBLON")</f>
        <v>6</v>
      </c>
    </row>
    <row r="6" spans="1:5" x14ac:dyDescent="0.25">
      <c r="A6" s="9" t="s">
        <v>77</v>
      </c>
      <c r="B6" s="9">
        <f>COUNTIF(Stock_Inventory!$C$5:$C$44,A6)</f>
        <v>6</v>
      </c>
    </row>
    <row r="7" spans="1:5" x14ac:dyDescent="0.25">
      <c r="A7" s="9" t="s">
        <v>68</v>
      </c>
      <c r="B7" s="9">
        <f>COUNTIF(Stock_Inventory!$C$5:$C$44,A7)</f>
        <v>5</v>
      </c>
    </row>
    <row r="8" spans="1:5" x14ac:dyDescent="0.25">
      <c r="A8" s="9" t="s">
        <v>44</v>
      </c>
      <c r="B8" s="9">
        <f>COUNTIF(Stock_Inventory!$C$5:$C$44,A8)</f>
        <v>4</v>
      </c>
    </row>
    <row r="9" spans="1:5" x14ac:dyDescent="0.25">
      <c r="A9" s="9" t="s">
        <v>32</v>
      </c>
      <c r="B9" s="9">
        <f>COUNTIF(Stock_Inventory!$C$5:$C$44,A9)</f>
        <v>18</v>
      </c>
    </row>
    <row r="11" spans="1:5" ht="15.75" x14ac:dyDescent="0.25">
      <c r="A11" s="7" t="s">
        <v>218</v>
      </c>
    </row>
    <row r="12" spans="1:5" x14ac:dyDescent="0.25">
      <c r="A12" s="8" t="s">
        <v>9</v>
      </c>
      <c r="B12" s="8" t="s">
        <v>215</v>
      </c>
    </row>
    <row r="13" spans="1:5" x14ac:dyDescent="0.25">
      <c r="A13" s="9" t="s">
        <v>24</v>
      </c>
      <c r="B13" s="9">
        <f>COUNTIF(Stock_Inventory!$H$5:$H$44,A13)</f>
        <v>12</v>
      </c>
    </row>
    <row r="14" spans="1:5" x14ac:dyDescent="0.25">
      <c r="A14" s="9" t="s">
        <v>18</v>
      </c>
      <c r="B14" s="9">
        <f>COUNTIF(Stock_Inventory!$H$5:$H$44,A14)</f>
        <v>12</v>
      </c>
    </row>
    <row r="15" spans="1:5" x14ac:dyDescent="0.25">
      <c r="A15" s="9" t="s">
        <v>47</v>
      </c>
      <c r="B15" s="9">
        <f>COUNTIF(Stock_Inventory!$H$5:$H$44,A15)</f>
        <v>8</v>
      </c>
    </row>
    <row r="16" spans="1:5" x14ac:dyDescent="0.25">
      <c r="A16" s="9" t="s">
        <v>36</v>
      </c>
      <c r="B16" s="9">
        <f>COUNTIF(Stock_Inventory!$H$5:$H$44,A16)</f>
        <v>8</v>
      </c>
    </row>
  </sheetData>
  <pageMargins left="0.75" right="0.75" top="1" bottom="1" header="0.511811023622047" footer="0.511811023622047"/>
  <pageSetup paperSize="9" orientation="portrait" horizontalDpi="300" verticalDpi="30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A19"/>
  <sheetViews>
    <sheetView zoomScaleNormal="100" workbookViewId="0"/>
  </sheetViews>
  <sheetFormatPr baseColWidth="10" defaultColWidth="8.7109375" defaultRowHeight="15" x14ac:dyDescent="0.25"/>
  <cols>
    <col min="1" max="1" width="90" customWidth="1"/>
  </cols>
  <sheetData>
    <row r="1" spans="1:1" ht="20.25" x14ac:dyDescent="0.3">
      <c r="A1" s="1" t="s">
        <v>219</v>
      </c>
    </row>
    <row r="2" spans="1:1" x14ac:dyDescent="0.25">
      <c r="A2" s="9"/>
    </row>
    <row r="3" spans="1:1" x14ac:dyDescent="0.25">
      <c r="A3" s="9" t="s">
        <v>220</v>
      </c>
    </row>
    <row r="4" spans="1:1" x14ac:dyDescent="0.25">
      <c r="A4" s="9" t="s">
        <v>221</v>
      </c>
    </row>
    <row r="5" spans="1:1" x14ac:dyDescent="0.25">
      <c r="A5" s="9"/>
    </row>
    <row r="6" spans="1:1" x14ac:dyDescent="0.25">
      <c r="A6" s="9" t="s">
        <v>222</v>
      </c>
    </row>
    <row r="7" spans="1:1" x14ac:dyDescent="0.25">
      <c r="A7" s="9"/>
    </row>
    <row r="8" spans="1:1" x14ac:dyDescent="0.25">
      <c r="A8" s="9" t="s">
        <v>223</v>
      </c>
    </row>
    <row r="9" spans="1:1" x14ac:dyDescent="0.25">
      <c r="A9" s="9" t="s">
        <v>224</v>
      </c>
    </row>
    <row r="10" spans="1:1" x14ac:dyDescent="0.25">
      <c r="A10" s="9" t="s">
        <v>225</v>
      </c>
    </row>
    <row r="11" spans="1:1" x14ac:dyDescent="0.25">
      <c r="A11" s="9" t="s">
        <v>226</v>
      </c>
    </row>
    <row r="12" spans="1:1" x14ac:dyDescent="0.25">
      <c r="A12" s="9" t="s">
        <v>227</v>
      </c>
    </row>
    <row r="13" spans="1:1" x14ac:dyDescent="0.25">
      <c r="A13" s="9" t="s">
        <v>228</v>
      </c>
    </row>
    <row r="14" spans="1:1" x14ac:dyDescent="0.25">
      <c r="A14" s="9" t="s">
        <v>229</v>
      </c>
    </row>
    <row r="15" spans="1:1" x14ac:dyDescent="0.25">
      <c r="A15" s="9" t="s">
        <v>230</v>
      </c>
    </row>
    <row r="16" spans="1:1" x14ac:dyDescent="0.25">
      <c r="A16" s="9"/>
    </row>
    <row r="17" spans="1:1" x14ac:dyDescent="0.25">
      <c r="A17" s="9" t="s">
        <v>231</v>
      </c>
    </row>
    <row r="18" spans="1:1" x14ac:dyDescent="0.25">
      <c r="A18" s="9" t="s">
        <v>232</v>
      </c>
    </row>
    <row r="19" spans="1:1" x14ac:dyDescent="0.25">
      <c r="A19" s="9" t="s">
        <v>233</v>
      </c>
    </row>
  </sheetData>
  <pageMargins left="0.75" right="0.75" top="1" bottom="1" header="0.511811023622047" footer="0.511811023622047"/>
  <pageSetup paperSize="9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4</vt:i4>
      </vt:variant>
    </vt:vector>
  </HeadingPairs>
  <TitlesOfParts>
    <vt:vector size="4" baseType="lpstr">
      <vt:lpstr>Stock_Inventory</vt:lpstr>
      <vt:lpstr>Scan_Log</vt:lpstr>
      <vt:lpstr>Dashboard</vt:lpstr>
      <vt:lpstr>README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openpyxl</dc:creator>
  <dc:description/>
  <cp:lastModifiedBy>Turki Mohammed</cp:lastModifiedBy>
  <cp:revision>1</cp:revision>
  <dcterms:created xsi:type="dcterms:W3CDTF">2026-08-19T06:50:42Z</dcterms:created>
  <dcterms:modified xsi:type="dcterms:W3CDTF">2026-08-19T07:02:28Z</dcterms:modified>
  <dc:language>en-US</dc:language>
</cp:coreProperties>
</file>